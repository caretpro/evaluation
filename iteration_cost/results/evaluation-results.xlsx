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git\albcrom\paperSoftwareX\eval\"/>
    </mc:Choice>
  </mc:AlternateContent>
  <xr:revisionPtr revIDLastSave="0" documentId="13_ncr:1_{E349BE93-550A-47A7-B665-DCCCDB9B5923}" xr6:coauthVersionLast="47" xr6:coauthVersionMax="47" xr10:uidLastSave="{00000000-0000-0000-0000-000000000000}"/>
  <bookViews>
    <workbookView xWindow="1428" yWindow="468" windowWidth="18756" windowHeight="11760" xr2:uid="{B900D9B2-5312-4C67-85D3-88ED4442BAA6}"/>
  </bookViews>
  <sheets>
    <sheet name="results" sheetId="1" r:id="rId1"/>
    <sheet name="gemini-3.5-flash-lite" sheetId="2" r:id="rId2"/>
    <sheet name="gpt-5.6-luna" sheetId="3" r:id="rId3"/>
    <sheet name="deepseek-v4.0-flas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F19" i="1"/>
  <c r="G19" i="1"/>
  <c r="H19" i="1"/>
  <c r="I19" i="1"/>
  <c r="J19" i="1"/>
  <c r="K19" i="1"/>
  <c r="D19" i="1"/>
  <c r="E18" i="1"/>
  <c r="F18" i="1"/>
  <c r="G18" i="1"/>
  <c r="H18" i="1"/>
  <c r="I18" i="1"/>
  <c r="J18" i="1"/>
  <c r="K18" i="1"/>
  <c r="D18" i="1"/>
  <c r="E17" i="1"/>
  <c r="F17" i="1"/>
  <c r="G17" i="1"/>
  <c r="H17" i="1"/>
  <c r="I17" i="1"/>
  <c r="J17" i="1"/>
  <c r="K17" i="1"/>
  <c r="D17" i="1"/>
  <c r="D25" i="4" l="1"/>
  <c r="E25" i="4" l="1"/>
  <c r="D25" i="3" l="1"/>
  <c r="D25" i="2" l="1"/>
  <c r="E25" i="2" l="1"/>
  <c r="K25" i="2" l="1"/>
  <c r="J25" i="2"/>
  <c r="I25" i="2"/>
  <c r="H25" i="2"/>
  <c r="G25" i="2"/>
  <c r="F25" i="2"/>
  <c r="K25" i="3"/>
  <c r="J25" i="3"/>
  <c r="I25" i="3"/>
  <c r="H25" i="3"/>
  <c r="G25" i="3"/>
  <c r="F25" i="3"/>
  <c r="E25" i="3"/>
  <c r="K25" i="4"/>
  <c r="J25" i="4"/>
  <c r="I25" i="4"/>
  <c r="H25" i="4"/>
  <c r="G25" i="4"/>
  <c r="F25" i="4"/>
  <c r="G13" i="2"/>
  <c r="H13" i="2"/>
  <c r="I13" i="2"/>
  <c r="J13" i="2"/>
  <c r="K13" i="2"/>
  <c r="F13" i="2"/>
  <c r="G13" i="4"/>
  <c r="H13" i="4"/>
  <c r="I13" i="4"/>
  <c r="J13" i="4"/>
  <c r="K13" i="4"/>
  <c r="F13" i="4"/>
  <c r="K13" i="3"/>
  <c r="J13" i="3"/>
  <c r="I13" i="3"/>
  <c r="H13" i="3"/>
  <c r="G13" i="3"/>
  <c r="F13" i="3"/>
  <c r="E9" i="1" l="1"/>
  <c r="F9" i="1"/>
  <c r="G9" i="1"/>
  <c r="H9" i="1"/>
  <c r="I9" i="1"/>
  <c r="J9" i="1"/>
  <c r="K9" i="1"/>
  <c r="D9" i="1"/>
  <c r="E8" i="1"/>
  <c r="F8" i="1"/>
  <c r="G8" i="1"/>
  <c r="H8" i="1"/>
  <c r="I8" i="1"/>
  <c r="J8" i="1"/>
  <c r="K8" i="1"/>
  <c r="D8" i="1"/>
  <c r="F10" i="1"/>
  <c r="G10" i="1"/>
  <c r="H10" i="1"/>
  <c r="I10" i="1"/>
  <c r="J10" i="1"/>
  <c r="K10" i="1"/>
  <c r="E13" i="4"/>
  <c r="E10" i="1" s="1"/>
  <c r="D13" i="4"/>
  <c r="D10" i="1" s="1"/>
  <c r="E13" i="3" l="1"/>
  <c r="D13" i="3"/>
  <c r="E13" i="2" l="1"/>
  <c r="D13" i="2"/>
</calcChain>
</file>

<file path=xl/sharedStrings.xml><?xml version="1.0" encoding="utf-8"?>
<sst xmlns="http://schemas.openxmlformats.org/spreadsheetml/2006/main" count="170" uniqueCount="32">
  <si>
    <t>COST  (Average)</t>
  </si>
  <si>
    <t>Initial</t>
  </si>
  <si>
    <t>Additional Iteration</t>
  </si>
  <si>
    <t>BASE</t>
  </si>
  <si>
    <t>COMPLETION</t>
  </si>
  <si>
    <t>COMPILATION</t>
  </si>
  <si>
    <t>PASS</t>
  </si>
  <si>
    <t>duration</t>
  </si>
  <si>
    <t>tokens</t>
  </si>
  <si>
    <t>20260724-121145</t>
  </si>
  <si>
    <t>execution</t>
  </si>
  <si>
    <t>20260724-121310</t>
  </si>
  <si>
    <t>20260724-121419</t>
  </si>
  <si>
    <t>20260724-121527</t>
  </si>
  <si>
    <t>20260724-121623</t>
  </si>
  <si>
    <t>average</t>
  </si>
  <si>
    <t>20260724-232619</t>
  </si>
  <si>
    <t>20260724-233440</t>
  </si>
  <si>
    <t>20260724-233950</t>
  </si>
  <si>
    <t>20260724-234515</t>
  </si>
  <si>
    <t>20260724-235114</t>
  </si>
  <si>
    <t>20260724-144250</t>
  </si>
  <si>
    <t>20260724-225527</t>
  </si>
  <si>
    <t>gemini-3.5-flash-lite</t>
  </si>
  <si>
    <t>gpt-5.6-luna</t>
  </si>
  <si>
    <t>deepseek-v4-flash</t>
  </si>
  <si>
    <t>20260729-095215</t>
  </si>
  <si>
    <t>20260729-100106</t>
  </si>
  <si>
    <t>20260729-104519</t>
  </si>
  <si>
    <t>success</t>
  </si>
  <si>
    <t>SUCCESS - ITERATIONS  (Average)</t>
  </si>
  <si>
    <t>imp. Iter.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</si>
</sst>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4" xfId="0" applyBorder="1"/>
    <xf numFmtId="1" fontId="0" fillId="3" borderId="4" xfId="0" applyNumberFormat="1" applyFill="1" applyBorder="1"/>
    <xf numFmtId="0" fontId="0" fillId="3" borderId="4" xfId="0" applyFill="1" applyBorder="1"/>
    <xf numFmtId="10" fontId="0" fillId="4" borderId="4" xfId="0" applyNumberFormat="1" applyFill="1" applyBorder="1"/>
    <xf numFmtId="10" fontId="0" fillId="5" borderId="4" xfId="0" applyNumberFormat="1" applyFill="1" applyBorder="1"/>
    <xf numFmtId="10" fontId="0" fillId="6" borderId="4" xfId="0" applyNumberFormat="1" applyFill="1" applyBorder="1"/>
    <xf numFmtId="10" fontId="0" fillId="7" borderId="4" xfId="0" applyNumberFormat="1" applyFill="1" applyBorder="1"/>
    <xf numFmtId="0" fontId="1" fillId="0" borderId="4" xfId="0" applyFont="1" applyBorder="1"/>
    <xf numFmtId="1" fontId="1" fillId="0" borderId="4" xfId="0" applyNumberFormat="1" applyFont="1" applyBorder="1"/>
    <xf numFmtId="10" fontId="1" fillId="0" borderId="4" xfId="0" applyNumberFormat="1" applyFont="1" applyBorder="1"/>
    <xf numFmtId="0" fontId="2" fillId="0" borderId="4" xfId="0" applyFont="1" applyBorder="1"/>
    <xf numFmtId="0" fontId="3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0" fontId="4" fillId="7" borderId="4" xfId="0" applyNumberFormat="1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center" vertical="center"/>
    </xf>
    <xf numFmtId="10" fontId="4" fillId="8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0" fontId="0" fillId="8" borderId="4" xfId="0" applyNumberFormat="1" applyFill="1" applyBorder="1"/>
    <xf numFmtId="10" fontId="0" fillId="3" borderId="4" xfId="0" applyNumberFormat="1" applyFill="1" applyBorder="1"/>
    <xf numFmtId="2" fontId="0" fillId="4" borderId="4" xfId="0" applyNumberFormat="1" applyFill="1" applyBorder="1"/>
    <xf numFmtId="2" fontId="1" fillId="0" borderId="4" xfId="0" applyNumberFormat="1" applyFont="1" applyBorder="1"/>
    <xf numFmtId="2" fontId="0" fillId="5" borderId="4" xfId="0" applyNumberFormat="1" applyFill="1" applyBorder="1"/>
    <xf numFmtId="2" fontId="0" fillId="6" borderId="4" xfId="0" applyNumberFormat="1" applyFill="1" applyBorder="1"/>
    <xf numFmtId="2" fontId="0" fillId="3" borderId="4" xfId="0" applyNumberFormat="1" applyFill="1" applyBorder="1"/>
    <xf numFmtId="2" fontId="0" fillId="8" borderId="4" xfId="0" applyNumberFormat="1" applyFill="1" applyBorder="1"/>
    <xf numFmtId="2" fontId="0" fillId="7" borderId="4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B360-A289-4DC8-A960-10787515DC31}">
  <dimension ref="C4:K19"/>
  <sheetViews>
    <sheetView tabSelected="1" zoomScale="105" workbookViewId="0">
      <selection activeCell="D13" sqref="D13:K13"/>
    </sheetView>
  </sheetViews>
  <sheetFormatPr defaultRowHeight="14.4" x14ac:dyDescent="0.3"/>
  <cols>
    <col min="3" max="3" width="20.109375" customWidth="1"/>
    <col min="6" max="10" width="9" bestFit="1" customWidth="1"/>
    <col min="11" max="11" width="9.109375" bestFit="1" customWidth="1"/>
  </cols>
  <sheetData>
    <row r="4" spans="3:11" x14ac:dyDescent="0.3">
      <c r="D4" s="33" t="s">
        <v>0</v>
      </c>
      <c r="E4" s="34"/>
      <c r="F4" s="34"/>
      <c r="G4" s="34"/>
      <c r="H4" s="34"/>
      <c r="I4" s="34"/>
      <c r="J4" s="34"/>
      <c r="K4" s="35"/>
    </row>
    <row r="5" spans="3:11" ht="15.6" x14ac:dyDescent="0.3">
      <c r="D5" s="36" t="s">
        <v>1</v>
      </c>
      <c r="E5" s="37"/>
      <c r="F5" s="49" t="s">
        <v>2</v>
      </c>
      <c r="G5" s="49"/>
      <c r="H5" s="49"/>
      <c r="I5" s="49"/>
      <c r="J5" s="49"/>
      <c r="K5" s="49"/>
    </row>
    <row r="6" spans="3:11" ht="15.6" x14ac:dyDescent="0.3">
      <c r="C6" s="1"/>
      <c r="D6" s="41" t="s">
        <v>3</v>
      </c>
      <c r="E6" s="42"/>
      <c r="F6" s="50" t="s">
        <v>4</v>
      </c>
      <c r="G6" s="50"/>
      <c r="H6" s="51" t="s">
        <v>5</v>
      </c>
      <c r="I6" s="51"/>
      <c r="J6" s="52" t="s">
        <v>6</v>
      </c>
      <c r="K6" s="52"/>
    </row>
    <row r="7" spans="3:11" ht="15.6" x14ac:dyDescent="0.3">
      <c r="C7" s="1" t="s">
        <v>10</v>
      </c>
      <c r="D7" s="2" t="s">
        <v>7</v>
      </c>
      <c r="E7" s="2" t="s">
        <v>8</v>
      </c>
      <c r="F7" s="17" t="s">
        <v>7</v>
      </c>
      <c r="G7" s="17" t="s">
        <v>8</v>
      </c>
      <c r="H7" s="4" t="s">
        <v>7</v>
      </c>
      <c r="I7" s="4" t="s">
        <v>8</v>
      </c>
      <c r="J7" s="18" t="s">
        <v>7</v>
      </c>
      <c r="K7" s="18" t="s">
        <v>8</v>
      </c>
    </row>
    <row r="8" spans="3:11" ht="15.6" x14ac:dyDescent="0.3">
      <c r="C8" s="1" t="s">
        <v>23</v>
      </c>
      <c r="D8" s="19">
        <f>'gemini-3.5-flash-lite'!D13</f>
        <v>2962</v>
      </c>
      <c r="E8" s="19">
        <f>'gemini-3.5-flash-lite'!E13</f>
        <v>4177</v>
      </c>
      <c r="F8" s="20">
        <f>'gemini-3.5-flash-lite'!F13</f>
        <v>0</v>
      </c>
      <c r="G8" s="20">
        <f>'gemini-3.5-flash-lite'!G13</f>
        <v>0</v>
      </c>
      <c r="H8" s="21">
        <f>'gemini-3.5-flash-lite'!H13</f>
        <v>0.90909999999999991</v>
      </c>
      <c r="I8" s="21">
        <f>'gemini-3.5-flash-lite'!I13</f>
        <v>1.29558</v>
      </c>
      <c r="J8" s="22">
        <f>'gemini-3.5-flash-lite'!J13</f>
        <v>1.10006</v>
      </c>
      <c r="K8" s="22">
        <f>'gemini-3.5-flash-lite'!K13</f>
        <v>13.079759999999998</v>
      </c>
    </row>
    <row r="9" spans="3:11" ht="15.6" x14ac:dyDescent="0.3">
      <c r="C9" s="1" t="s">
        <v>24</v>
      </c>
      <c r="D9" s="23">
        <f>'gpt-5.6-luna'!D13</f>
        <v>13748</v>
      </c>
      <c r="E9" s="23">
        <f>'gpt-5.6-luna'!E13</f>
        <v>4379</v>
      </c>
      <c r="F9" s="20">
        <f>'gpt-5.6-luna'!F13</f>
        <v>1.3623499999999999</v>
      </c>
      <c r="G9" s="20">
        <f>'gpt-5.6-luna'!G13</f>
        <v>1.2315499999999999</v>
      </c>
      <c r="H9" s="21">
        <f>'gpt-5.6-luna'!H13</f>
        <v>0.78931999999999991</v>
      </c>
      <c r="I9" s="21">
        <f>'gpt-5.6-luna'!I13</f>
        <v>1.1418599999999999</v>
      </c>
      <c r="J9" s="22">
        <f>'gpt-5.6-luna'!J13</f>
        <v>0.9234</v>
      </c>
      <c r="K9" s="22">
        <f>'gpt-5.6-luna'!K13</f>
        <v>7.1106799999999994</v>
      </c>
    </row>
    <row r="10" spans="3:11" ht="15.6" x14ac:dyDescent="0.3">
      <c r="C10" s="16" t="s">
        <v>25</v>
      </c>
      <c r="D10" s="23">
        <f>'deepseek-v4.0-flash'!D13</f>
        <v>16336</v>
      </c>
      <c r="E10" s="23">
        <f>'deepseek-v4.0-flash'!E13</f>
        <v>4765</v>
      </c>
      <c r="F10" s="20">
        <f>'deepseek-v4.0-flash'!F13</f>
        <v>0</v>
      </c>
      <c r="G10" s="20">
        <f>'deepseek-v4.0-flash'!G13</f>
        <v>0</v>
      </c>
      <c r="H10" s="21">
        <f>'deepseek-v4.0-flash'!H13</f>
        <v>0.93044000000000016</v>
      </c>
      <c r="I10" s="21">
        <f>'deepseek-v4.0-flash'!I13</f>
        <v>1.1296200000000003</v>
      </c>
      <c r="J10" s="22">
        <f>'deepseek-v4.0-flash'!J13</f>
        <v>1.6899</v>
      </c>
      <c r="K10" s="22">
        <f>'deepseek-v4.0-flash'!K13</f>
        <v>1.6910666666666667</v>
      </c>
    </row>
    <row r="13" spans="3:11" x14ac:dyDescent="0.3">
      <c r="D13" s="33" t="s">
        <v>30</v>
      </c>
      <c r="E13" s="34"/>
      <c r="F13" s="34"/>
      <c r="G13" s="34"/>
      <c r="H13" s="34"/>
      <c r="I13" s="34"/>
      <c r="J13" s="34"/>
      <c r="K13" s="35"/>
    </row>
    <row r="14" spans="3:11" ht="15.6" x14ac:dyDescent="0.3">
      <c r="D14" s="36" t="s">
        <v>1</v>
      </c>
      <c r="E14" s="37"/>
      <c r="F14" s="38" t="s">
        <v>2</v>
      </c>
      <c r="G14" s="39"/>
      <c r="H14" s="39"/>
      <c r="I14" s="39"/>
      <c r="J14" s="39"/>
      <c r="K14" s="40"/>
    </row>
    <row r="15" spans="3:11" ht="15.6" x14ac:dyDescent="0.3">
      <c r="C15" s="1"/>
      <c r="D15" s="41" t="s">
        <v>3</v>
      </c>
      <c r="E15" s="42"/>
      <c r="F15" s="43" t="s">
        <v>4</v>
      </c>
      <c r="G15" s="44"/>
      <c r="H15" s="45" t="s">
        <v>5</v>
      </c>
      <c r="I15" s="46"/>
      <c r="J15" s="47" t="s">
        <v>6</v>
      </c>
      <c r="K15" s="48"/>
    </row>
    <row r="16" spans="3:11" ht="15.6" x14ac:dyDescent="0.3">
      <c r="C16" s="1" t="s">
        <v>10</v>
      </c>
      <c r="D16" s="2" t="s">
        <v>29</v>
      </c>
      <c r="E16" s="2" t="s">
        <v>31</v>
      </c>
      <c r="F16" s="3" t="s">
        <v>29</v>
      </c>
      <c r="G16" s="3" t="s">
        <v>31</v>
      </c>
      <c r="H16" s="4" t="s">
        <v>29</v>
      </c>
      <c r="I16" s="4" t="s">
        <v>31</v>
      </c>
      <c r="J16" s="18" t="s">
        <v>29</v>
      </c>
      <c r="K16" s="18" t="s">
        <v>31</v>
      </c>
    </row>
    <row r="17" spans="3:11" ht="15.6" x14ac:dyDescent="0.3">
      <c r="C17" s="1" t="s">
        <v>23</v>
      </c>
      <c r="D17" s="25">
        <f>'gemini-3.5-flash-lite'!D25</f>
        <v>0.61428571428571432</v>
      </c>
      <c r="E17" s="30">
        <f>'gemini-3.5-flash-lite'!E25</f>
        <v>0</v>
      </c>
      <c r="F17" s="12">
        <f>'gemini-3.5-flash-lite'!F25</f>
        <v>1</v>
      </c>
      <c r="G17" s="32">
        <f>'gemini-3.5-flash-lite'!G25</f>
        <v>0</v>
      </c>
      <c r="H17" s="10">
        <f>'gemini-3.5-flash-lite'!H25</f>
        <v>0.9285714285714286</v>
      </c>
      <c r="I17" s="28">
        <f>'gemini-3.5-flash-lite'!I25</f>
        <v>0.21000000000000002</v>
      </c>
      <c r="J17" s="24">
        <f>'gemini-3.5-flash-lite'!J25</f>
        <v>0.9</v>
      </c>
      <c r="K17" s="31">
        <f>'gemini-3.5-flash-lite'!K25</f>
        <v>0.35799999999999998</v>
      </c>
    </row>
    <row r="18" spans="3:11" ht="15.6" x14ac:dyDescent="0.3">
      <c r="C18" s="1" t="s">
        <v>24</v>
      </c>
      <c r="D18" s="25">
        <f>'gpt-5.6-luna'!D25</f>
        <v>0.7</v>
      </c>
      <c r="E18" s="30">
        <f>'gpt-5.6-luna'!E25</f>
        <v>0</v>
      </c>
      <c r="F18" s="12">
        <f>'gpt-5.6-luna'!F25</f>
        <v>1</v>
      </c>
      <c r="G18" s="32">
        <f>'gpt-5.6-luna'!G25</f>
        <v>7.0000000000000007E-2</v>
      </c>
      <c r="H18" s="10">
        <f>'gpt-5.6-luna'!H25</f>
        <v>1</v>
      </c>
      <c r="I18" s="28">
        <f>'gpt-5.6-luna'!I25</f>
        <v>9.8000000000000004E-2</v>
      </c>
      <c r="J18" s="24">
        <f>'gpt-5.6-luna'!J25</f>
        <v>0.87142857142857155</v>
      </c>
      <c r="K18" s="31">
        <f>'gpt-5.6-luna'!K25</f>
        <v>0.4880000000000001</v>
      </c>
    </row>
    <row r="19" spans="3:11" ht="15.6" x14ac:dyDescent="0.3">
      <c r="C19" s="16" t="s">
        <v>25</v>
      </c>
      <c r="D19" s="25">
        <f>'deepseek-v4.0-flash'!D25</f>
        <v>0.82857142857142851</v>
      </c>
      <c r="E19" s="30">
        <f>'deepseek-v4.0-flash'!E25</f>
        <v>0</v>
      </c>
      <c r="F19" s="12">
        <f>'deepseek-v4.0-flash'!F25</f>
        <v>1</v>
      </c>
      <c r="G19" s="32">
        <f>'deepseek-v4.0-flash'!G25</f>
        <v>0</v>
      </c>
      <c r="H19" s="10">
        <f>'deepseek-v4.0-flash'!H25</f>
        <v>0.9285714285714286</v>
      </c>
      <c r="I19" s="28">
        <f>'deepseek-v4.0-flash'!I25</f>
        <v>0.19800000000000001</v>
      </c>
      <c r="J19" s="24">
        <f>'deepseek-v4.0-flash'!J25</f>
        <v>0.9285714285714286</v>
      </c>
      <c r="K19" s="31">
        <f>'deepseek-v4.0-flash'!K25</f>
        <v>0.19000000000000003</v>
      </c>
    </row>
  </sheetData>
  <mergeCells count="14">
    <mergeCell ref="D4:K4"/>
    <mergeCell ref="D5:E5"/>
    <mergeCell ref="F5:K5"/>
    <mergeCell ref="D6:E6"/>
    <mergeCell ref="F6:G6"/>
    <mergeCell ref="H6:I6"/>
    <mergeCell ref="J6:K6"/>
    <mergeCell ref="D13:K13"/>
    <mergeCell ref="D14:E14"/>
    <mergeCell ref="F14:K14"/>
    <mergeCell ref="D15:E15"/>
    <mergeCell ref="F15:G15"/>
    <mergeCell ref="H15:I15"/>
    <mergeCell ref="J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3693-CF04-40F1-8DBF-5E9B0A422DF7}">
  <dimension ref="C4:K25"/>
  <sheetViews>
    <sheetView topLeftCell="A4" workbookViewId="0">
      <selection activeCell="D16" sqref="D16:K16"/>
    </sheetView>
  </sheetViews>
  <sheetFormatPr defaultRowHeight="14.4" x14ac:dyDescent="0.3"/>
  <cols>
    <col min="3" max="3" width="15.77734375" customWidth="1"/>
    <col min="4" max="4" width="10.5546875" customWidth="1"/>
    <col min="6" max="10" width="9" bestFit="1" customWidth="1"/>
    <col min="11" max="11" width="9.109375" bestFit="1" customWidth="1"/>
  </cols>
  <sheetData>
    <row r="4" spans="3:11" x14ac:dyDescent="0.3">
      <c r="D4" s="33" t="s">
        <v>0</v>
      </c>
      <c r="E4" s="34"/>
      <c r="F4" s="34"/>
      <c r="G4" s="34"/>
      <c r="H4" s="34"/>
      <c r="I4" s="34"/>
      <c r="J4" s="34"/>
      <c r="K4" s="35"/>
    </row>
    <row r="5" spans="3:11" ht="15.6" x14ac:dyDescent="0.3">
      <c r="D5" s="36" t="s">
        <v>1</v>
      </c>
      <c r="E5" s="37"/>
      <c r="F5" s="49" t="s">
        <v>2</v>
      </c>
      <c r="G5" s="49"/>
      <c r="H5" s="49"/>
      <c r="I5" s="49"/>
      <c r="J5" s="49"/>
      <c r="K5" s="49"/>
    </row>
    <row r="6" spans="3:11" ht="15.6" x14ac:dyDescent="0.3">
      <c r="C6" s="1"/>
      <c r="D6" s="41" t="s">
        <v>3</v>
      </c>
      <c r="E6" s="42"/>
      <c r="F6" s="50" t="s">
        <v>4</v>
      </c>
      <c r="G6" s="50"/>
      <c r="H6" s="51" t="s">
        <v>5</v>
      </c>
      <c r="I6" s="51"/>
      <c r="J6" s="53" t="s">
        <v>6</v>
      </c>
      <c r="K6" s="53"/>
    </row>
    <row r="7" spans="3:11" ht="15.6" x14ac:dyDescent="0.3">
      <c r="C7" s="1" t="s">
        <v>10</v>
      </c>
      <c r="D7" s="2" t="s">
        <v>7</v>
      </c>
      <c r="E7" s="2" t="s">
        <v>8</v>
      </c>
      <c r="F7" s="3" t="s">
        <v>7</v>
      </c>
      <c r="G7" s="3" t="s">
        <v>8</v>
      </c>
      <c r="H7" s="4" t="s">
        <v>7</v>
      </c>
      <c r="I7" s="4" t="s">
        <v>8</v>
      </c>
      <c r="J7" s="5" t="s">
        <v>7</v>
      </c>
      <c r="K7" s="5" t="s">
        <v>8</v>
      </c>
    </row>
    <row r="8" spans="3:11" x14ac:dyDescent="0.3">
      <c r="C8" s="6" t="s">
        <v>9</v>
      </c>
      <c r="D8" s="7">
        <v>2984</v>
      </c>
      <c r="E8" s="8">
        <v>4162</v>
      </c>
      <c r="F8" s="12">
        <v>0</v>
      </c>
      <c r="G8" s="12">
        <v>0</v>
      </c>
      <c r="H8" s="10">
        <v>0.83</v>
      </c>
      <c r="I8" s="10">
        <v>1.2922</v>
      </c>
      <c r="J8" s="11">
        <v>0.98350000000000004</v>
      </c>
      <c r="K8" s="11">
        <v>8.5738000000000003</v>
      </c>
    </row>
    <row r="9" spans="3:11" x14ac:dyDescent="0.3">
      <c r="C9" s="6" t="s">
        <v>11</v>
      </c>
      <c r="D9" s="8">
        <v>2984</v>
      </c>
      <c r="E9" s="8">
        <v>4165</v>
      </c>
      <c r="F9" s="12">
        <v>0</v>
      </c>
      <c r="G9" s="12">
        <v>0</v>
      </c>
      <c r="H9" s="10">
        <v>0.92910000000000004</v>
      </c>
      <c r="I9" s="10">
        <v>1.3406</v>
      </c>
      <c r="J9" s="11">
        <v>1.2297</v>
      </c>
      <c r="K9" s="11">
        <v>7.6383999999999999</v>
      </c>
    </row>
    <row r="10" spans="3:11" x14ac:dyDescent="0.3">
      <c r="C10" s="6" t="s">
        <v>12</v>
      </c>
      <c r="D10" s="8">
        <v>2942</v>
      </c>
      <c r="E10" s="8">
        <v>4199</v>
      </c>
      <c r="F10" s="12">
        <v>0</v>
      </c>
      <c r="G10" s="12">
        <v>0</v>
      </c>
      <c r="H10" s="10">
        <v>1.0427999999999999</v>
      </c>
      <c r="I10" s="10">
        <v>1.3111999999999999</v>
      </c>
      <c r="J10" s="11">
        <v>1.2238</v>
      </c>
      <c r="K10" s="11">
        <v>17.550699999999999</v>
      </c>
    </row>
    <row r="11" spans="3:11" x14ac:dyDescent="0.3">
      <c r="C11" s="6" t="s">
        <v>13</v>
      </c>
      <c r="D11" s="8">
        <v>2954</v>
      </c>
      <c r="E11" s="8">
        <v>4199</v>
      </c>
      <c r="F11" s="12">
        <v>0</v>
      </c>
      <c r="G11" s="12">
        <v>0</v>
      </c>
      <c r="H11" s="10">
        <v>0.95909999999999995</v>
      </c>
      <c r="I11" s="10">
        <v>1.2821</v>
      </c>
      <c r="J11" s="11">
        <v>1.0359</v>
      </c>
      <c r="K11" s="11">
        <v>22.768599999999999</v>
      </c>
    </row>
    <row r="12" spans="3:11" x14ac:dyDescent="0.3">
      <c r="C12" s="6" t="s">
        <v>14</v>
      </c>
      <c r="D12" s="8">
        <v>2945</v>
      </c>
      <c r="E12" s="8">
        <v>4158</v>
      </c>
      <c r="F12" s="12">
        <v>0</v>
      </c>
      <c r="G12" s="12">
        <v>0</v>
      </c>
      <c r="H12" s="10">
        <v>0.78449999999999998</v>
      </c>
      <c r="I12" s="10">
        <v>1.2518</v>
      </c>
      <c r="J12" s="11">
        <v>1.0274000000000001</v>
      </c>
      <c r="K12" s="11">
        <v>8.8673000000000002</v>
      </c>
    </row>
    <row r="13" spans="3:11" x14ac:dyDescent="0.3">
      <c r="C13" s="13" t="s">
        <v>15</v>
      </c>
      <c r="D13" s="14">
        <f>ROUND(AVERAGE(D8:D12), 0)</f>
        <v>2962</v>
      </c>
      <c r="E13" s="14">
        <f>ROUND(AVERAGE(E8:E12), 0)</f>
        <v>4177</v>
      </c>
      <c r="F13" s="15">
        <f>IFERROR(AVERAGEIF(F8:F12, "&gt;0"), 0)</f>
        <v>0</v>
      </c>
      <c r="G13" s="15">
        <f t="shared" ref="G13:K13" si="0">IFERROR(AVERAGEIF(G8:G12, "&gt;0"), 0)</f>
        <v>0</v>
      </c>
      <c r="H13" s="15">
        <f t="shared" si="0"/>
        <v>0.90909999999999991</v>
      </c>
      <c r="I13" s="15">
        <f t="shared" si="0"/>
        <v>1.29558</v>
      </c>
      <c r="J13" s="15">
        <f t="shared" si="0"/>
        <v>1.10006</v>
      </c>
      <c r="K13" s="15">
        <f t="shared" si="0"/>
        <v>13.079759999999998</v>
      </c>
    </row>
    <row r="16" spans="3:11" x14ac:dyDescent="0.3">
      <c r="D16" s="33" t="s">
        <v>30</v>
      </c>
      <c r="E16" s="34"/>
      <c r="F16" s="34"/>
      <c r="G16" s="34"/>
      <c r="H16" s="34"/>
      <c r="I16" s="34"/>
      <c r="J16" s="34"/>
      <c r="K16" s="35"/>
    </row>
    <row r="17" spans="3:11" ht="15.6" x14ac:dyDescent="0.3">
      <c r="D17" s="36" t="s">
        <v>1</v>
      </c>
      <c r="E17" s="37"/>
      <c r="F17" s="49" t="s">
        <v>2</v>
      </c>
      <c r="G17" s="49"/>
      <c r="H17" s="49"/>
      <c r="I17" s="49"/>
      <c r="J17" s="49"/>
      <c r="K17" s="49"/>
    </row>
    <row r="18" spans="3:11" ht="15.6" x14ac:dyDescent="0.3">
      <c r="C18" s="1"/>
      <c r="D18" s="41" t="s">
        <v>3</v>
      </c>
      <c r="E18" s="42"/>
      <c r="F18" s="50" t="s">
        <v>4</v>
      </c>
      <c r="G18" s="50"/>
      <c r="H18" s="51" t="s">
        <v>5</v>
      </c>
      <c r="I18" s="51"/>
      <c r="J18" s="53" t="s">
        <v>6</v>
      </c>
      <c r="K18" s="53"/>
    </row>
    <row r="19" spans="3:11" ht="15.6" x14ac:dyDescent="0.3">
      <c r="C19" s="1" t="s">
        <v>10</v>
      </c>
      <c r="D19" s="2" t="s">
        <v>29</v>
      </c>
      <c r="E19" s="2" t="s">
        <v>31</v>
      </c>
      <c r="F19" s="3" t="s">
        <v>29</v>
      </c>
      <c r="G19" s="3" t="s">
        <v>31</v>
      </c>
      <c r="H19" s="4" t="s">
        <v>29</v>
      </c>
      <c r="I19" s="4" t="s">
        <v>31</v>
      </c>
      <c r="J19" s="5" t="s">
        <v>29</v>
      </c>
      <c r="K19" s="5" t="s">
        <v>31</v>
      </c>
    </row>
    <row r="20" spans="3:11" x14ac:dyDescent="0.3">
      <c r="C20" s="6" t="s">
        <v>9</v>
      </c>
      <c r="D20" s="25">
        <v>0.35714285714285715</v>
      </c>
      <c r="E20" s="30">
        <v>0</v>
      </c>
      <c r="F20" s="9">
        <v>1</v>
      </c>
      <c r="G20" s="26">
        <v>0</v>
      </c>
      <c r="H20" s="10">
        <v>0.9285714285714286</v>
      </c>
      <c r="I20" s="28">
        <v>0.21</v>
      </c>
      <c r="J20" s="11">
        <v>0.9285714285714286</v>
      </c>
      <c r="K20" s="29">
        <v>0.64</v>
      </c>
    </row>
    <row r="21" spans="3:11" x14ac:dyDescent="0.3">
      <c r="C21" s="6" t="s">
        <v>11</v>
      </c>
      <c r="D21" s="25">
        <v>0.6428571428571429</v>
      </c>
      <c r="E21" s="30">
        <v>0</v>
      </c>
      <c r="F21" s="9">
        <v>1</v>
      </c>
      <c r="G21" s="26">
        <v>0</v>
      </c>
      <c r="H21" s="10">
        <v>0.9285714285714286</v>
      </c>
      <c r="I21" s="28">
        <v>0.21</v>
      </c>
      <c r="J21" s="11">
        <v>0.8571428571428571</v>
      </c>
      <c r="K21" s="29">
        <v>0.36</v>
      </c>
    </row>
    <row r="22" spans="3:11" x14ac:dyDescent="0.3">
      <c r="C22" s="6" t="s">
        <v>12</v>
      </c>
      <c r="D22" s="25">
        <v>0.6428571428571429</v>
      </c>
      <c r="E22" s="30">
        <v>0</v>
      </c>
      <c r="F22" s="9">
        <v>1</v>
      </c>
      <c r="G22" s="26">
        <v>0</v>
      </c>
      <c r="H22" s="10">
        <v>0.9285714285714286</v>
      </c>
      <c r="I22" s="28">
        <v>0.21</v>
      </c>
      <c r="J22" s="11">
        <v>0.8571428571428571</v>
      </c>
      <c r="K22" s="29">
        <v>0.36</v>
      </c>
    </row>
    <row r="23" spans="3:11" x14ac:dyDescent="0.3">
      <c r="C23" s="6" t="s">
        <v>13</v>
      </c>
      <c r="D23" s="25">
        <v>0.7142857142857143</v>
      </c>
      <c r="E23" s="30">
        <v>0</v>
      </c>
      <c r="F23" s="9">
        <v>1</v>
      </c>
      <c r="G23" s="26">
        <v>0</v>
      </c>
      <c r="H23" s="10">
        <v>0.9285714285714286</v>
      </c>
      <c r="I23" s="28">
        <v>0.21</v>
      </c>
      <c r="J23" s="11">
        <v>0.9285714285714286</v>
      </c>
      <c r="K23" s="29">
        <v>0.14000000000000001</v>
      </c>
    </row>
    <row r="24" spans="3:11" x14ac:dyDescent="0.3">
      <c r="C24" s="6" t="s">
        <v>14</v>
      </c>
      <c r="D24" s="25">
        <v>0.7142857142857143</v>
      </c>
      <c r="E24" s="30">
        <v>0</v>
      </c>
      <c r="F24" s="9">
        <v>1</v>
      </c>
      <c r="G24" s="26">
        <v>0</v>
      </c>
      <c r="H24" s="10">
        <v>0.9285714285714286</v>
      </c>
      <c r="I24" s="28">
        <v>0.21</v>
      </c>
      <c r="J24" s="11">
        <v>0.9285714285714286</v>
      </c>
      <c r="K24" s="29">
        <v>0.28999999999999998</v>
      </c>
    </row>
    <row r="25" spans="3:11" x14ac:dyDescent="0.3">
      <c r="C25" s="13" t="s">
        <v>15</v>
      </c>
      <c r="D25" s="15">
        <f>AVERAGE(D20:D24)</f>
        <v>0.61428571428571432</v>
      </c>
      <c r="E25" s="27">
        <f>ROUND(AVERAGE(E20:E24),2)</f>
        <v>0</v>
      </c>
      <c r="F25" s="15">
        <f>IFERROR(AVERAGEIF(F20:F24, "&gt;0"), 0)</f>
        <v>1</v>
      </c>
      <c r="G25" s="27">
        <f t="shared" ref="G25:K25" si="1">IFERROR(AVERAGEIF(G20:G24, "&gt;0"), 0)</f>
        <v>0</v>
      </c>
      <c r="H25" s="15">
        <f t="shared" si="1"/>
        <v>0.9285714285714286</v>
      </c>
      <c r="I25" s="27">
        <f t="shared" si="1"/>
        <v>0.21000000000000002</v>
      </c>
      <c r="J25" s="15">
        <f t="shared" si="1"/>
        <v>0.9</v>
      </c>
      <c r="K25" s="27">
        <f t="shared" si="1"/>
        <v>0.35799999999999998</v>
      </c>
    </row>
  </sheetData>
  <mergeCells count="14">
    <mergeCell ref="D4:K4"/>
    <mergeCell ref="D5:E5"/>
    <mergeCell ref="F5:K5"/>
    <mergeCell ref="D6:E6"/>
    <mergeCell ref="F6:G6"/>
    <mergeCell ref="H6:I6"/>
    <mergeCell ref="J6:K6"/>
    <mergeCell ref="D16:K16"/>
    <mergeCell ref="D17:E17"/>
    <mergeCell ref="F17:K17"/>
    <mergeCell ref="D18:E18"/>
    <mergeCell ref="F18:G18"/>
    <mergeCell ref="H18:I18"/>
    <mergeCell ref="J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55F0-D87B-4CFA-856C-860D77E6D95C}">
  <dimension ref="C4:K25"/>
  <sheetViews>
    <sheetView topLeftCell="A6" workbookViewId="0">
      <selection activeCell="D16" sqref="D16:K16"/>
    </sheetView>
  </sheetViews>
  <sheetFormatPr defaultRowHeight="14.4" x14ac:dyDescent="0.3"/>
  <cols>
    <col min="3" max="3" width="15.6640625" customWidth="1"/>
  </cols>
  <sheetData>
    <row r="4" spans="3:11" x14ac:dyDescent="0.3">
      <c r="D4" s="33" t="s">
        <v>0</v>
      </c>
      <c r="E4" s="34"/>
      <c r="F4" s="34"/>
      <c r="G4" s="34"/>
      <c r="H4" s="34"/>
      <c r="I4" s="34"/>
      <c r="J4" s="34"/>
      <c r="K4" s="35"/>
    </row>
    <row r="5" spans="3:11" ht="15.6" x14ac:dyDescent="0.3">
      <c r="D5" s="36" t="s">
        <v>1</v>
      </c>
      <c r="E5" s="37"/>
      <c r="F5" s="49" t="s">
        <v>2</v>
      </c>
      <c r="G5" s="49"/>
      <c r="H5" s="49"/>
      <c r="I5" s="49"/>
      <c r="J5" s="49"/>
      <c r="K5" s="49"/>
    </row>
    <row r="6" spans="3:11" ht="15.6" x14ac:dyDescent="0.3">
      <c r="C6" s="1"/>
      <c r="D6" s="41" t="s">
        <v>3</v>
      </c>
      <c r="E6" s="42"/>
      <c r="F6" s="50" t="s">
        <v>4</v>
      </c>
      <c r="G6" s="50"/>
      <c r="H6" s="51" t="s">
        <v>5</v>
      </c>
      <c r="I6" s="51"/>
      <c r="J6" s="53" t="s">
        <v>6</v>
      </c>
      <c r="K6" s="53"/>
    </row>
    <row r="7" spans="3:11" ht="15.6" x14ac:dyDescent="0.3">
      <c r="C7" s="1" t="s">
        <v>10</v>
      </c>
      <c r="D7" s="2" t="s">
        <v>7</v>
      </c>
      <c r="E7" s="2" t="s">
        <v>8</v>
      </c>
      <c r="F7" s="3" t="s">
        <v>7</v>
      </c>
      <c r="G7" s="3" t="s">
        <v>8</v>
      </c>
      <c r="H7" s="4" t="s">
        <v>7</v>
      </c>
      <c r="I7" s="4" t="s">
        <v>8</v>
      </c>
      <c r="J7" s="5" t="s">
        <v>7</v>
      </c>
      <c r="K7" s="5" t="s">
        <v>8</v>
      </c>
    </row>
    <row r="8" spans="3:11" x14ac:dyDescent="0.3">
      <c r="C8" s="6" t="s">
        <v>16</v>
      </c>
      <c r="D8" s="7">
        <v>15115</v>
      </c>
      <c r="E8" s="8">
        <v>4392</v>
      </c>
      <c r="F8" s="9">
        <v>1.4397</v>
      </c>
      <c r="G8" s="9">
        <v>1.2665999999999999</v>
      </c>
      <c r="H8" s="10">
        <v>0.76419999999999999</v>
      </c>
      <c r="I8" s="10">
        <v>1.1842999999999999</v>
      </c>
      <c r="J8" s="11">
        <v>1.0223</v>
      </c>
      <c r="K8" s="11">
        <v>14.4354</v>
      </c>
    </row>
    <row r="9" spans="3:11" x14ac:dyDescent="0.3">
      <c r="C9" s="6" t="s">
        <v>17</v>
      </c>
      <c r="D9" s="7">
        <v>14964</v>
      </c>
      <c r="E9" s="8">
        <v>4456</v>
      </c>
      <c r="F9" s="9">
        <v>0</v>
      </c>
      <c r="G9" s="9">
        <v>0</v>
      </c>
      <c r="H9" s="10">
        <v>0.50960000000000005</v>
      </c>
      <c r="I9" s="10">
        <v>0.96399999999999997</v>
      </c>
      <c r="J9" s="11">
        <v>0.93810000000000004</v>
      </c>
      <c r="K9" s="11">
        <v>7.3135000000000003</v>
      </c>
    </row>
    <row r="10" spans="3:11" x14ac:dyDescent="0.3">
      <c r="C10" s="6" t="s">
        <v>18</v>
      </c>
      <c r="D10" s="7">
        <v>12610</v>
      </c>
      <c r="E10" s="8">
        <v>4248</v>
      </c>
      <c r="F10" s="9">
        <v>0</v>
      </c>
      <c r="G10" s="9">
        <v>0</v>
      </c>
      <c r="H10" s="10">
        <v>0.88480000000000003</v>
      </c>
      <c r="I10" s="10">
        <v>1.1930000000000001</v>
      </c>
      <c r="J10" s="11">
        <v>1.0466</v>
      </c>
      <c r="K10" s="11">
        <v>6.2876000000000003</v>
      </c>
    </row>
    <row r="11" spans="3:11" x14ac:dyDescent="0.3">
      <c r="C11" s="6" t="s">
        <v>19</v>
      </c>
      <c r="D11" s="7">
        <v>12347</v>
      </c>
      <c r="E11" s="8">
        <v>4356</v>
      </c>
      <c r="F11" s="9">
        <v>1.2849999999999999</v>
      </c>
      <c r="G11" s="9">
        <v>1.1964999999999999</v>
      </c>
      <c r="H11" s="10">
        <v>0.86329999999999996</v>
      </c>
      <c r="I11" s="10">
        <v>1.1536999999999999</v>
      </c>
      <c r="J11" s="11">
        <v>0.91490000000000005</v>
      </c>
      <c r="K11" s="11">
        <v>2.7363</v>
      </c>
    </row>
    <row r="12" spans="3:11" x14ac:dyDescent="0.3">
      <c r="C12" s="6" t="s">
        <v>20</v>
      </c>
      <c r="D12" s="7">
        <v>13706</v>
      </c>
      <c r="E12" s="8">
        <v>4445</v>
      </c>
      <c r="F12" s="9">
        <v>0</v>
      </c>
      <c r="G12" s="9">
        <v>0</v>
      </c>
      <c r="H12" s="10">
        <v>0.92469999999999997</v>
      </c>
      <c r="I12" s="10">
        <v>1.2142999999999999</v>
      </c>
      <c r="J12" s="11">
        <v>0.69510000000000005</v>
      </c>
      <c r="K12" s="11">
        <v>4.7805999999999997</v>
      </c>
    </row>
    <row r="13" spans="3:11" x14ac:dyDescent="0.3">
      <c r="C13" s="13" t="s">
        <v>15</v>
      </c>
      <c r="D13" s="13">
        <f>ROUND(AVERAGE(D8:D12), 0)</f>
        <v>13748</v>
      </c>
      <c r="E13" s="13">
        <f>ROUND(AVERAGE(E8:E12), 0)</f>
        <v>4379</v>
      </c>
      <c r="F13" s="15">
        <f>IFERROR(AVERAGEIF(F8:F12, "&gt;0"), 0)</f>
        <v>1.3623499999999999</v>
      </c>
      <c r="G13" s="15">
        <f t="shared" ref="G13:K13" si="0">IFERROR(AVERAGEIF(G8:G12, "&gt;0"), 0)</f>
        <v>1.2315499999999999</v>
      </c>
      <c r="H13" s="15">
        <f t="shared" si="0"/>
        <v>0.78931999999999991</v>
      </c>
      <c r="I13" s="15">
        <f t="shared" si="0"/>
        <v>1.1418599999999999</v>
      </c>
      <c r="J13" s="15">
        <f t="shared" si="0"/>
        <v>0.9234</v>
      </c>
      <c r="K13" s="15">
        <f t="shared" si="0"/>
        <v>7.1106799999999994</v>
      </c>
    </row>
    <row r="16" spans="3:11" x14ac:dyDescent="0.3">
      <c r="D16" s="33" t="s">
        <v>30</v>
      </c>
      <c r="E16" s="34"/>
      <c r="F16" s="34"/>
      <c r="G16" s="34"/>
      <c r="H16" s="34"/>
      <c r="I16" s="34"/>
      <c r="J16" s="34"/>
      <c r="K16" s="35"/>
    </row>
    <row r="17" spans="3:11" ht="15.6" x14ac:dyDescent="0.3">
      <c r="D17" s="36" t="s">
        <v>1</v>
      </c>
      <c r="E17" s="37"/>
      <c r="F17" s="49" t="s">
        <v>2</v>
      </c>
      <c r="G17" s="49"/>
      <c r="H17" s="49"/>
      <c r="I17" s="49"/>
      <c r="J17" s="49"/>
      <c r="K17" s="49"/>
    </row>
    <row r="18" spans="3:11" ht="15.6" x14ac:dyDescent="0.3">
      <c r="C18" s="1"/>
      <c r="D18" s="41" t="s">
        <v>3</v>
      </c>
      <c r="E18" s="42"/>
      <c r="F18" s="50" t="s">
        <v>4</v>
      </c>
      <c r="G18" s="50"/>
      <c r="H18" s="51" t="s">
        <v>5</v>
      </c>
      <c r="I18" s="51"/>
      <c r="J18" s="53" t="s">
        <v>6</v>
      </c>
      <c r="K18" s="53"/>
    </row>
    <row r="19" spans="3:11" ht="15.6" x14ac:dyDescent="0.3">
      <c r="C19" s="1" t="s">
        <v>10</v>
      </c>
      <c r="D19" s="2" t="s">
        <v>29</v>
      </c>
      <c r="E19" s="2" t="s">
        <v>31</v>
      </c>
      <c r="F19" s="3" t="s">
        <v>29</v>
      </c>
      <c r="G19" s="3" t="s">
        <v>31</v>
      </c>
      <c r="H19" s="4" t="s">
        <v>29</v>
      </c>
      <c r="I19" s="4" t="s">
        <v>31</v>
      </c>
      <c r="J19" s="5" t="s">
        <v>29</v>
      </c>
      <c r="K19" s="5" t="s">
        <v>31</v>
      </c>
    </row>
    <row r="20" spans="3:11" x14ac:dyDescent="0.3">
      <c r="C20" s="6" t="s">
        <v>16</v>
      </c>
      <c r="D20" s="25">
        <v>0.2857142857142857</v>
      </c>
      <c r="E20" s="30">
        <v>0</v>
      </c>
      <c r="F20" s="9">
        <v>1</v>
      </c>
      <c r="G20" s="26">
        <v>7.0000000000000007E-2</v>
      </c>
      <c r="H20" s="10">
        <v>1</v>
      </c>
      <c r="I20" s="28">
        <v>7.0000000000000007E-2</v>
      </c>
      <c r="J20" s="11">
        <v>0.7857142857142857</v>
      </c>
      <c r="K20" s="29">
        <v>1</v>
      </c>
    </row>
    <row r="21" spans="3:11" x14ac:dyDescent="0.3">
      <c r="C21" s="6" t="s">
        <v>17</v>
      </c>
      <c r="D21" s="25">
        <v>0.7857142857142857</v>
      </c>
      <c r="E21" s="30">
        <v>0</v>
      </c>
      <c r="F21" s="9">
        <v>1</v>
      </c>
      <c r="G21" s="26">
        <v>0</v>
      </c>
      <c r="H21" s="10">
        <v>1</v>
      </c>
      <c r="I21" s="28">
        <v>7.0000000000000007E-2</v>
      </c>
      <c r="J21" s="11">
        <v>0.9285714285714286</v>
      </c>
      <c r="K21" s="29">
        <v>0.28999999999999998</v>
      </c>
    </row>
    <row r="22" spans="3:11" x14ac:dyDescent="0.3">
      <c r="C22" s="6" t="s">
        <v>18</v>
      </c>
      <c r="D22" s="25">
        <v>0.8571428571428571</v>
      </c>
      <c r="E22" s="30">
        <v>0</v>
      </c>
      <c r="F22" s="9">
        <v>1</v>
      </c>
      <c r="G22" s="26">
        <v>0</v>
      </c>
      <c r="H22" s="10">
        <v>1</v>
      </c>
      <c r="I22" s="28">
        <v>0.21</v>
      </c>
      <c r="J22" s="11">
        <v>0.9285714285714286</v>
      </c>
      <c r="K22" s="29">
        <v>0.28999999999999998</v>
      </c>
    </row>
    <row r="23" spans="3:11" x14ac:dyDescent="0.3">
      <c r="C23" s="6" t="s">
        <v>19</v>
      </c>
      <c r="D23" s="25">
        <v>0.7857142857142857</v>
      </c>
      <c r="E23" s="30">
        <v>0</v>
      </c>
      <c r="F23" s="9">
        <v>1</v>
      </c>
      <c r="G23" s="26">
        <v>7.0000000000000007E-2</v>
      </c>
      <c r="H23" s="10">
        <v>1</v>
      </c>
      <c r="I23" s="28">
        <v>7.0000000000000007E-2</v>
      </c>
      <c r="J23" s="11">
        <v>0.8571428571428571</v>
      </c>
      <c r="K23" s="29">
        <v>0.43</v>
      </c>
    </row>
    <row r="24" spans="3:11" x14ac:dyDescent="0.3">
      <c r="C24" s="6" t="s">
        <v>20</v>
      </c>
      <c r="D24" s="25">
        <v>0.7857142857142857</v>
      </c>
      <c r="E24" s="30">
        <v>0</v>
      </c>
      <c r="F24" s="9">
        <v>1</v>
      </c>
      <c r="G24" s="26">
        <v>0</v>
      </c>
      <c r="H24" s="10">
        <v>1</v>
      </c>
      <c r="I24" s="28">
        <v>7.0000000000000007E-2</v>
      </c>
      <c r="J24" s="11">
        <v>0.8571428571428571</v>
      </c>
      <c r="K24" s="29">
        <v>0.43</v>
      </c>
    </row>
    <row r="25" spans="3:11" x14ac:dyDescent="0.3">
      <c r="C25" s="13" t="s">
        <v>15</v>
      </c>
      <c r="D25" s="15">
        <f>AVERAGE(D20:D24)</f>
        <v>0.7</v>
      </c>
      <c r="E25" s="27">
        <f>ROUND(AVERAGE(E20:E24), 0)</f>
        <v>0</v>
      </c>
      <c r="F25" s="15">
        <f>IFERROR(AVERAGEIF(F20:F24, "&gt;0"), 0)</f>
        <v>1</v>
      </c>
      <c r="G25" s="27">
        <f t="shared" ref="G25:K25" si="1">IFERROR(AVERAGEIF(G20:G24, "&gt;0"), 0)</f>
        <v>7.0000000000000007E-2</v>
      </c>
      <c r="H25" s="15">
        <f t="shared" si="1"/>
        <v>1</v>
      </c>
      <c r="I25" s="27">
        <f t="shared" si="1"/>
        <v>9.8000000000000004E-2</v>
      </c>
      <c r="J25" s="15">
        <f t="shared" si="1"/>
        <v>0.87142857142857155</v>
      </c>
      <c r="K25" s="27">
        <f t="shared" si="1"/>
        <v>0.4880000000000001</v>
      </c>
    </row>
  </sheetData>
  <mergeCells count="14">
    <mergeCell ref="D4:K4"/>
    <mergeCell ref="D5:E5"/>
    <mergeCell ref="F5:K5"/>
    <mergeCell ref="D6:E6"/>
    <mergeCell ref="F6:G6"/>
    <mergeCell ref="H6:I6"/>
    <mergeCell ref="J6:K6"/>
    <mergeCell ref="D16:K16"/>
    <mergeCell ref="D17:E17"/>
    <mergeCell ref="F17:K17"/>
    <mergeCell ref="D18:E18"/>
    <mergeCell ref="F18:G18"/>
    <mergeCell ref="H18:I18"/>
    <mergeCell ref="J18:K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76A2-2B6B-43FE-B288-49EA6614514C}">
  <dimension ref="C4:K25"/>
  <sheetViews>
    <sheetView topLeftCell="A5" workbookViewId="0">
      <selection activeCell="I15" sqref="I15"/>
    </sheetView>
  </sheetViews>
  <sheetFormatPr defaultRowHeight="14.4" x14ac:dyDescent="0.3"/>
  <cols>
    <col min="3" max="3" width="16.33203125" customWidth="1"/>
  </cols>
  <sheetData>
    <row r="4" spans="3:11" x14ac:dyDescent="0.3">
      <c r="D4" s="33" t="s">
        <v>0</v>
      </c>
      <c r="E4" s="34"/>
      <c r="F4" s="34"/>
      <c r="G4" s="34"/>
      <c r="H4" s="34"/>
      <c r="I4" s="34"/>
      <c r="J4" s="34"/>
      <c r="K4" s="35"/>
    </row>
    <row r="5" spans="3:11" ht="15.6" x14ac:dyDescent="0.3">
      <c r="D5" s="36" t="s">
        <v>1</v>
      </c>
      <c r="E5" s="37"/>
      <c r="F5" s="49" t="s">
        <v>2</v>
      </c>
      <c r="G5" s="49"/>
      <c r="H5" s="49"/>
      <c r="I5" s="49"/>
      <c r="J5" s="49"/>
      <c r="K5" s="49"/>
    </row>
    <row r="6" spans="3:11" ht="15.6" x14ac:dyDescent="0.3">
      <c r="C6" s="1"/>
      <c r="D6" s="41" t="s">
        <v>3</v>
      </c>
      <c r="E6" s="42"/>
      <c r="F6" s="50" t="s">
        <v>4</v>
      </c>
      <c r="G6" s="50"/>
      <c r="H6" s="51" t="s">
        <v>5</v>
      </c>
      <c r="I6" s="51"/>
      <c r="J6" s="53" t="s">
        <v>6</v>
      </c>
      <c r="K6" s="53"/>
    </row>
    <row r="7" spans="3:11" ht="15.6" x14ac:dyDescent="0.3">
      <c r="C7" s="1" t="s">
        <v>10</v>
      </c>
      <c r="D7" s="2" t="s">
        <v>7</v>
      </c>
      <c r="E7" s="2" t="s">
        <v>8</v>
      </c>
      <c r="F7" s="3" t="s">
        <v>7</v>
      </c>
      <c r="G7" s="3" t="s">
        <v>8</v>
      </c>
      <c r="H7" s="4" t="s">
        <v>7</v>
      </c>
      <c r="I7" s="4" t="s">
        <v>8</v>
      </c>
      <c r="J7" s="5" t="s">
        <v>7</v>
      </c>
      <c r="K7" s="5" t="s">
        <v>8</v>
      </c>
    </row>
    <row r="8" spans="3:11" x14ac:dyDescent="0.3">
      <c r="C8" s="6" t="s">
        <v>21</v>
      </c>
      <c r="D8" s="7">
        <v>20369</v>
      </c>
      <c r="E8" s="8">
        <v>4982</v>
      </c>
      <c r="F8" s="9">
        <v>0</v>
      </c>
      <c r="G8" s="9">
        <v>0</v>
      </c>
      <c r="H8" s="10">
        <v>0.79139999999999999</v>
      </c>
      <c r="I8" s="10">
        <v>1.0595000000000001</v>
      </c>
      <c r="J8" s="11">
        <v>1.2017</v>
      </c>
      <c r="K8" s="11">
        <v>1.5412999999999999</v>
      </c>
    </row>
    <row r="9" spans="3:11" x14ac:dyDescent="0.3">
      <c r="C9" s="6" t="s">
        <v>22</v>
      </c>
      <c r="D9" s="7">
        <v>15506</v>
      </c>
      <c r="E9" s="8">
        <v>4735</v>
      </c>
      <c r="F9" s="9">
        <v>0</v>
      </c>
      <c r="G9" s="9">
        <v>0</v>
      </c>
      <c r="H9" s="10">
        <v>0.83489999999999998</v>
      </c>
      <c r="I9" s="10">
        <v>1.0642</v>
      </c>
      <c r="J9" s="11">
        <v>0</v>
      </c>
      <c r="K9" s="11">
        <v>0</v>
      </c>
    </row>
    <row r="10" spans="3:11" x14ac:dyDescent="0.3">
      <c r="C10" s="6" t="s">
        <v>26</v>
      </c>
      <c r="D10" s="7">
        <v>16946</v>
      </c>
      <c r="E10" s="8">
        <v>4822</v>
      </c>
      <c r="F10" s="9">
        <v>0</v>
      </c>
      <c r="G10" s="9">
        <v>0</v>
      </c>
      <c r="H10" s="10">
        <v>1.1545000000000001</v>
      </c>
      <c r="I10" s="10">
        <v>1.1882999999999999</v>
      </c>
      <c r="J10" s="11">
        <v>2.0019</v>
      </c>
      <c r="K10" s="11">
        <v>1.7544999999999999</v>
      </c>
    </row>
    <row r="11" spans="3:11" x14ac:dyDescent="0.3">
      <c r="C11" s="6" t="s">
        <v>27</v>
      </c>
      <c r="D11" s="7">
        <v>16089</v>
      </c>
      <c r="E11" s="8">
        <v>4756</v>
      </c>
      <c r="F11" s="9">
        <v>0</v>
      </c>
      <c r="G11" s="9">
        <v>0</v>
      </c>
      <c r="H11" s="10">
        <v>0.7782</v>
      </c>
      <c r="I11" s="10">
        <v>1.0596000000000001</v>
      </c>
      <c r="J11" s="11">
        <v>1.8661000000000001</v>
      </c>
      <c r="K11" s="11">
        <v>1.7774000000000001</v>
      </c>
    </row>
    <row r="12" spans="3:11" x14ac:dyDescent="0.3">
      <c r="C12" s="6" t="s">
        <v>28</v>
      </c>
      <c r="D12" s="7">
        <v>12772</v>
      </c>
      <c r="E12" s="8">
        <v>4530</v>
      </c>
      <c r="F12" s="9">
        <v>0</v>
      </c>
      <c r="G12" s="9">
        <v>0</v>
      </c>
      <c r="H12" s="10">
        <v>1.0931999999999999</v>
      </c>
      <c r="I12" s="10">
        <v>1.2765</v>
      </c>
      <c r="J12" s="11">
        <v>0</v>
      </c>
      <c r="K12" s="11">
        <v>0</v>
      </c>
    </row>
    <row r="13" spans="3:11" x14ac:dyDescent="0.3">
      <c r="C13" s="13" t="s">
        <v>15</v>
      </c>
      <c r="D13" s="13">
        <f>ROUND(AVERAGE(D8:D12), 0)</f>
        <v>16336</v>
      </c>
      <c r="E13" s="13">
        <f>ROUND(AVERAGE(E8:E12), 0)</f>
        <v>4765</v>
      </c>
      <c r="F13" s="15">
        <f>IFERROR(AVERAGEIF(F8:F12, "&gt;0"), 0)</f>
        <v>0</v>
      </c>
      <c r="G13" s="15">
        <f t="shared" ref="G13:K13" si="0">IFERROR(AVERAGEIF(G8:G12, "&gt;0"), 0)</f>
        <v>0</v>
      </c>
      <c r="H13" s="15">
        <f t="shared" si="0"/>
        <v>0.93044000000000016</v>
      </c>
      <c r="I13" s="15">
        <f t="shared" si="0"/>
        <v>1.1296200000000003</v>
      </c>
      <c r="J13" s="15">
        <f t="shared" si="0"/>
        <v>1.6899</v>
      </c>
      <c r="K13" s="15">
        <f t="shared" si="0"/>
        <v>1.6910666666666667</v>
      </c>
    </row>
    <row r="16" spans="3:11" x14ac:dyDescent="0.3">
      <c r="D16" s="33" t="s">
        <v>30</v>
      </c>
      <c r="E16" s="34"/>
      <c r="F16" s="34"/>
      <c r="G16" s="34"/>
      <c r="H16" s="34"/>
      <c r="I16" s="34"/>
      <c r="J16" s="34"/>
      <c r="K16" s="35"/>
    </row>
    <row r="17" spans="3:11" ht="15.6" x14ac:dyDescent="0.3">
      <c r="D17" s="36" t="s">
        <v>1</v>
      </c>
      <c r="E17" s="37"/>
      <c r="F17" s="49" t="s">
        <v>2</v>
      </c>
      <c r="G17" s="49"/>
      <c r="H17" s="49"/>
      <c r="I17" s="49"/>
      <c r="J17" s="49"/>
      <c r="K17" s="49"/>
    </row>
    <row r="18" spans="3:11" ht="15.6" x14ac:dyDescent="0.3">
      <c r="C18" s="1"/>
      <c r="D18" s="41" t="s">
        <v>3</v>
      </c>
      <c r="E18" s="42"/>
      <c r="F18" s="50" t="s">
        <v>4</v>
      </c>
      <c r="G18" s="50"/>
      <c r="H18" s="51" t="s">
        <v>5</v>
      </c>
      <c r="I18" s="51"/>
      <c r="J18" s="53" t="s">
        <v>6</v>
      </c>
      <c r="K18" s="53"/>
    </row>
    <row r="19" spans="3:11" ht="15.6" x14ac:dyDescent="0.3">
      <c r="C19" s="1" t="s">
        <v>10</v>
      </c>
      <c r="D19" s="2" t="s">
        <v>29</v>
      </c>
      <c r="E19" s="2" t="s">
        <v>31</v>
      </c>
      <c r="F19" s="3" t="s">
        <v>29</v>
      </c>
      <c r="G19" s="3" t="s">
        <v>31</v>
      </c>
      <c r="H19" s="4" t="s">
        <v>29</v>
      </c>
      <c r="I19" s="4" t="s">
        <v>31</v>
      </c>
      <c r="J19" s="5" t="s">
        <v>29</v>
      </c>
      <c r="K19" s="5" t="s">
        <v>31</v>
      </c>
    </row>
    <row r="20" spans="3:11" x14ac:dyDescent="0.3">
      <c r="C20" s="6" t="s">
        <v>21</v>
      </c>
      <c r="D20" s="25">
        <v>0.7857142857142857</v>
      </c>
      <c r="E20" s="30">
        <v>0</v>
      </c>
      <c r="F20" s="9">
        <v>1</v>
      </c>
      <c r="G20" s="26">
        <v>0</v>
      </c>
      <c r="H20" s="10">
        <v>0.9285714285714286</v>
      </c>
      <c r="I20" s="28">
        <v>0.21</v>
      </c>
      <c r="J20" s="11">
        <v>0.9285714285714286</v>
      </c>
      <c r="K20" s="29">
        <v>0.14000000000000001</v>
      </c>
    </row>
    <row r="21" spans="3:11" x14ac:dyDescent="0.3">
      <c r="C21" s="6" t="s">
        <v>22</v>
      </c>
      <c r="D21" s="25">
        <v>0.9285714285714286</v>
      </c>
      <c r="E21" s="30">
        <v>0</v>
      </c>
      <c r="F21" s="9">
        <v>1</v>
      </c>
      <c r="G21" s="26">
        <v>0</v>
      </c>
      <c r="H21" s="10">
        <v>0.9285714285714286</v>
      </c>
      <c r="I21" s="28">
        <v>0.14000000000000001</v>
      </c>
      <c r="J21" s="11">
        <v>0.9285714285714286</v>
      </c>
      <c r="K21" s="29">
        <v>0</v>
      </c>
    </row>
    <row r="22" spans="3:11" x14ac:dyDescent="0.3">
      <c r="C22" s="6" t="s">
        <v>26</v>
      </c>
      <c r="D22" s="25">
        <v>0.7857142857142857</v>
      </c>
      <c r="E22" s="30">
        <v>0</v>
      </c>
      <c r="F22" s="9">
        <v>1</v>
      </c>
      <c r="G22" s="26">
        <v>0</v>
      </c>
      <c r="H22" s="10">
        <v>0.9285714285714286</v>
      </c>
      <c r="I22" s="28">
        <v>0.14000000000000001</v>
      </c>
      <c r="J22" s="11">
        <v>0.9285714285714286</v>
      </c>
      <c r="K22" s="29">
        <v>0.28999999999999998</v>
      </c>
    </row>
    <row r="23" spans="3:11" x14ac:dyDescent="0.3">
      <c r="C23" s="6" t="s">
        <v>27</v>
      </c>
      <c r="D23" s="25">
        <v>0.7857142857142857</v>
      </c>
      <c r="E23" s="30">
        <v>0</v>
      </c>
      <c r="F23" s="9">
        <v>1</v>
      </c>
      <c r="G23" s="26">
        <v>0</v>
      </c>
      <c r="H23" s="10">
        <v>0.9285714285714286</v>
      </c>
      <c r="I23" s="28">
        <v>0.21</v>
      </c>
      <c r="J23" s="11">
        <v>0.9285714285714286</v>
      </c>
      <c r="K23" s="29">
        <v>0.14000000000000001</v>
      </c>
    </row>
    <row r="24" spans="3:11" x14ac:dyDescent="0.3">
      <c r="C24" s="6" t="s">
        <v>28</v>
      </c>
      <c r="D24" s="25">
        <v>0.8571428571428571</v>
      </c>
      <c r="E24" s="30">
        <v>0</v>
      </c>
      <c r="F24" s="9">
        <v>1</v>
      </c>
      <c r="G24" s="26">
        <v>0</v>
      </c>
      <c r="H24" s="10">
        <v>0.9285714285714286</v>
      </c>
      <c r="I24" s="28">
        <v>0.28999999999999998</v>
      </c>
      <c r="J24" s="11">
        <v>0.9285714285714286</v>
      </c>
      <c r="K24" s="29">
        <v>0</v>
      </c>
    </row>
    <row r="25" spans="3:11" x14ac:dyDescent="0.3">
      <c r="C25" s="13" t="s">
        <v>15</v>
      </c>
      <c r="D25" s="15">
        <f>AVERAGE(D20:D24)</f>
        <v>0.82857142857142851</v>
      </c>
      <c r="E25" s="27">
        <f>AVERAGE(E20:E24)</f>
        <v>0</v>
      </c>
      <c r="F25" s="15">
        <f>IFERROR(AVERAGEIF(F20:F24, "&gt;0"), 0)</f>
        <v>1</v>
      </c>
      <c r="G25" s="27">
        <f t="shared" ref="G25:K25" si="1">IFERROR(AVERAGEIF(G20:G24, "&gt;0"), 0)</f>
        <v>0</v>
      </c>
      <c r="H25" s="15">
        <f t="shared" si="1"/>
        <v>0.9285714285714286</v>
      </c>
      <c r="I25" s="27">
        <f t="shared" si="1"/>
        <v>0.19800000000000001</v>
      </c>
      <c r="J25" s="15">
        <f t="shared" si="1"/>
        <v>0.9285714285714286</v>
      </c>
      <c r="K25" s="27">
        <f t="shared" si="1"/>
        <v>0.19000000000000003</v>
      </c>
    </row>
  </sheetData>
  <mergeCells count="14">
    <mergeCell ref="D4:K4"/>
    <mergeCell ref="D5:E5"/>
    <mergeCell ref="F5:K5"/>
    <mergeCell ref="D6:E6"/>
    <mergeCell ref="F6:G6"/>
    <mergeCell ref="H6:I6"/>
    <mergeCell ref="J6:K6"/>
    <mergeCell ref="D16:K16"/>
    <mergeCell ref="D17:E17"/>
    <mergeCell ref="F17:K17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gemini-3.5-flash-lite</vt:lpstr>
      <vt:lpstr>gpt-5.6-luna</vt:lpstr>
      <vt:lpstr>deepseek-v4.0-flash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Contreras Romero</dc:creator>
  <cp:lastModifiedBy>Albert Contreras Romero</cp:lastModifiedBy>
  <dcterms:created xsi:type="dcterms:W3CDTF">2026-07-28T00:42:30Z</dcterms:created>
  <dcterms:modified xsi:type="dcterms:W3CDTF">2026-07-29T19:31:37Z</dcterms:modified>
</cp:coreProperties>
</file>